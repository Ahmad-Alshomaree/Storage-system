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<sst xmlns="http://schemas.openxmlformats.org/spreadsheetml/2006/main" count="19" uniqueCount="19">
  <si>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Item No</t>
  </si>
  <si>
    <t xml:space="preserve">Ctn</t>
  </si>
  <si>
    <t xml:space="preserve">Pcs/Ctn</t>
  </si>
  <si>
    <t xml:space="preserve">QTY</t>
  </si>
  <si>
    <t xml:space="preserve">Price</t>
  </si>
  <si>
    <t xml:space="preserve">T/Price</t>
  </si>
  <si>
    <t xml:space="preserve">CBM/Cnt</t>
  </si>
  <si>
    <t xml:space="preserve">T/CBM</t>
  </si>
  <si>
    <t xml:space="preserve">17158-2</t>
  </si>
  <si>
    <t xml:space="preserve">17158-3</t>
  </si>
  <si>
    <t xml:space="preserve">17158-4</t>
  </si>
  <si>
    <t xml:space="preserve">17158-5</t>
  </si>
  <si>
    <t xml:space="preserve">17158-6</t>
  </si>
  <si>
    <t xml:space="preserve">17158-7</t>
  </si>
  <si>
    <t xml:space="preserve">17158-8</t>
  </si>
  <si>
    <t xml:space="preserve">17158-9</t>
  </si>
  <si>
    <t xml:space="preserve">17158-10</t>
  </si>
  <si>
    <t xml:space="preserve">17158-11</t>
  </si>
  <si>
    <t xml:space="preserve">17158-12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</si>
</sst>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_ "/>
    <numFmt numFmtId="166" formatCode="@"/>
    <numFmt numFmtId="167" formatCode="General"/>
  </numFmts>
  <fonts count="8">
    <font>
      <sz val="11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b val="true"/>
      <sz val="12"/>
      <color theme="1"/>
      <name val="Tahoma"/>
      <family val="0"/>
      <charset val="134"/>
    </font>
    <font>
      <b val="true"/>
      <sz val="12"/>
      <color rgb="FFFF0000"/>
      <name val="Tahoma"/>
      <family val="0"/>
      <charset val="134"/>
    </font>
    <font>
      <b val="true"/>
      <sz val="12"/>
      <name val="Tahom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339966"/>
      </patternFill>
    </fill>
    <fill>
      <patternFill patternType="solid">
        <fgColor theme="1" tint="0.4999"/>
        <bgColor rgb="FF969696"/>
      </patternFill>
    </fill>
    <fill>
      <patternFill patternType="solid">
        <fgColor theme="9"/>
        <bgColor rgb="FFFF808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3" xfId="20"/>
    <cellStyle name="常规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953125" defaultRowHeight="15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2" width="21.13"/>
    <col collapsed="false" customWidth="true" hidden="false" outlineLevel="0" max="3" min="3" style="3" width="14.34"/>
    <col collapsed="false" customWidth="false" hidden="false" outlineLevel="0" max="7" min="4" style="3" width="8.95"/>
    <col collapsed="false" customWidth="true" hidden="false" outlineLevel="0" max="8" min="8" style="4" width="13.24"/>
    <col collapsed="false" customWidth="true" hidden="false" outlineLevel="0" max="9" min="9" style="3" width="12.15"/>
    <col collapsed="false" customWidth="true" hidden="false" outlineLevel="0" max="10" min="10" style="3" width="8.7"/>
    <col collapsed="false" customWidth="false" hidden="false" outlineLevel="0" max="12" min="11" style="3" width="8.95"/>
    <col collapsed="false" customWidth="true" hidden="false" outlineLevel="0" max="14" min="13" style="3" width="14.34"/>
    <col collapsed="false" customWidth="false" hidden="false" outlineLevel="0" max="16377" min="39" style="3" width="8.95"/>
    <col collapsed="false" customWidth="true" hidden="false" outlineLevel="0" max="16384" min="16378" style="3" width="10.49"/>
  </cols>
  <sheetData>
    <row r="1" customFormat="false" ht="21" hidden="false" customHeight="true" outlineLevel="0" collapsed="false">
      <c r="C1" s="5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7" t="s">
        <v>5</v>
      </c>
      <c r="I1" s="8" t="s">
        <v>6</v>
      </c>
      <c r="J1" s="6" t="s">
        <v>7</v>
      </c>
    </row>
    <row r="2" customFormat="false" ht="50.1" hidden="false" customHeight="true" outlineLevel="0" collapsed="false">
      <c r="A2" s="1" t="n">
        <f aca="false">N2*1.3/E2</f>
        <v>2702768.09523809</v>
      </c>
      <c r="B2" s="2" t="n">
        <f aca="false">N2*1.6/E2</f>
        <v>3326483.80952381</v>
      </c>
      <c r="C2" s="9" t="s">
        <v>8</v>
      </c>
      <c r="D2" s="10" t="n">
        <v>4</v>
      </c>
      <c r="E2" s="10" t="n">
        <v>3</v>
      </c>
      <c r="F2" s="10" t="n">
        <f aca="false">D2*E2</f>
        <v>12</v>
      </c>
      <c r="G2" s="10" t="n">
        <v>110</v>
      </c>
      <c r="H2" s="10" t="n">
        <f aca="false">G2*F2</f>
        <v>1320</v>
      </c>
      <c r="I2" s="11" t="n">
        <f aca="false">K2*L2*M2</f>
        <v>31185.5238095238</v>
      </c>
      <c r="J2" s="12" t="n">
        <f aca="false">I2*D2</f>
        <v>124742.095238095</v>
      </c>
      <c r="K2" s="3" t="n">
        <v>12.2</v>
      </c>
      <c r="L2" s="3" t="n">
        <f aca="false">K2*D2</f>
        <v>48.8</v>
      </c>
      <c r="M2" s="3" t="n">
        <f aca="false">E2*G2/6.3</f>
        <v>52.3809523809524</v>
      </c>
      <c r="N2" s="3" t="n">
        <f aca="false">I2*200+M2</f>
        <v>6237157.14285714</v>
      </c>
    </row>
    <row r="3" customFormat="false" ht="50.1" hidden="false" customHeight="true" outlineLevel="0" collapsed="false">
      <c r="A3" s="1" t="n">
        <f aca="false">N3*1.3/E3</f>
        <v>38394699.3650794</v>
      </c>
      <c r="B3" s="2" t="n">
        <f aca="false">N3*1.6/E3</f>
        <v>47255014.6031746</v>
      </c>
      <c r="C3" s="9" t="s">
        <v>9</v>
      </c>
      <c r="D3" s="10" t="n">
        <v>6</v>
      </c>
      <c r="E3" s="10" t="n">
        <v>1</v>
      </c>
      <c r="F3" s="10" t="n">
        <f aca="false">D3*E3</f>
        <v>6</v>
      </c>
      <c r="G3" s="10" t="n">
        <v>380</v>
      </c>
      <c r="H3" s="10" t="n">
        <f aca="false">G3*F3</f>
        <v>2280</v>
      </c>
      <c r="I3" s="11" t="n">
        <f aca="false">K3*L3*M3</f>
        <v>147671.619047619</v>
      </c>
      <c r="J3" s="12" t="n">
        <f aca="false">I3*D3</f>
        <v>886029.714285714</v>
      </c>
      <c r="K3" s="3" t="n">
        <v>20.2</v>
      </c>
      <c r="L3" s="3" t="n">
        <f aca="false">K3*D3</f>
        <v>121.2</v>
      </c>
      <c r="M3" s="3" t="n">
        <f aca="false">E3*G3/6.3</f>
        <v>60.3174603174603</v>
      </c>
      <c r="N3" s="3" t="n">
        <f aca="false">I3*200+M3</f>
        <v>29534384.1269841</v>
      </c>
    </row>
    <row r="4" customFormat="false" ht="50.1" hidden="false" customHeight="true" outlineLevel="0" collapsed="false">
      <c r="A4" s="1" t="n">
        <f aca="false">N4*1.3/E4</f>
        <v>38509813.3333333</v>
      </c>
      <c r="B4" s="2" t="n">
        <f aca="false">N4*1.6/E4</f>
        <v>47396693.3333333</v>
      </c>
      <c r="C4" s="9" t="s">
        <v>10</v>
      </c>
      <c r="D4" s="10" t="n">
        <v>6</v>
      </c>
      <c r="E4" s="10" t="n">
        <v>1</v>
      </c>
      <c r="F4" s="10" t="n">
        <f aca="false">D4*E4</f>
        <v>6</v>
      </c>
      <c r="G4" s="10" t="n">
        <v>480</v>
      </c>
      <c r="H4" s="10" t="n">
        <f aca="false">G4*F4</f>
        <v>2880</v>
      </c>
      <c r="I4" s="11" t="n">
        <f aca="false">K4*L4*M4</f>
        <v>148114.285714286</v>
      </c>
      <c r="J4" s="12" t="n">
        <f aca="false">I4*D4</f>
        <v>888685.714285714</v>
      </c>
      <c r="K4" s="3" t="n">
        <v>18</v>
      </c>
      <c r="L4" s="3" t="n">
        <f aca="false">K4*D4</f>
        <v>108</v>
      </c>
      <c r="M4" s="3" t="n">
        <f aca="false">E4*G4/6.3</f>
        <v>76.1904761904762</v>
      </c>
      <c r="N4" s="3" t="n">
        <f aca="false">I4*200+M4</f>
        <v>29622933.3333333</v>
      </c>
    </row>
    <row r="5" customFormat="false" ht="50.1" hidden="false" customHeight="true" outlineLevel="0" collapsed="false">
      <c r="A5" s="1" t="n">
        <f aca="false">N5*1.3/E5</f>
        <v>132581143.809524</v>
      </c>
      <c r="B5" s="2" t="n">
        <f aca="false">N5*1.6/E5</f>
        <v>163176792.380952</v>
      </c>
      <c r="C5" s="9" t="s">
        <v>11</v>
      </c>
      <c r="D5" s="10" t="n">
        <v>6</v>
      </c>
      <c r="E5" s="10" t="n">
        <v>1</v>
      </c>
      <c r="F5" s="10" t="n">
        <f aca="false">D5*E5</f>
        <v>6</v>
      </c>
      <c r="G5" s="10" t="n">
        <v>780</v>
      </c>
      <c r="H5" s="10" t="n">
        <f aca="false">G5*F5</f>
        <v>4680</v>
      </c>
      <c r="I5" s="11" t="n">
        <f aca="false">K5*L5*M5</f>
        <v>509926.857142857</v>
      </c>
      <c r="J5" s="12" t="n">
        <f aca="false">I5*D5</f>
        <v>3059561.14285714</v>
      </c>
      <c r="K5" s="3" t="n">
        <v>26.2</v>
      </c>
      <c r="L5" s="3" t="n">
        <f aca="false">K5*D5</f>
        <v>157.2</v>
      </c>
      <c r="M5" s="3" t="n">
        <f aca="false">E5*G5/6.3</f>
        <v>123.809523809524</v>
      </c>
      <c r="N5" s="3" t="n">
        <f aca="false">I5*200+M5</f>
        <v>101985495.238095</v>
      </c>
    </row>
    <row r="6" customFormat="false" ht="50.1" hidden="false" customHeight="true" outlineLevel="0" collapsed="false">
      <c r="A6" s="1" t="n">
        <f aca="false">N6*1.3/E6</f>
        <v>23587695.2380952</v>
      </c>
      <c r="B6" s="2" t="n">
        <f aca="false">N6*1.6/E6</f>
        <v>29031009.5238095</v>
      </c>
      <c r="C6" s="9" t="s">
        <v>12</v>
      </c>
      <c r="D6" s="10" t="n">
        <v>2</v>
      </c>
      <c r="E6" s="10" t="n">
        <v>2</v>
      </c>
      <c r="F6" s="10" t="n">
        <f aca="false">D6*E6</f>
        <v>4</v>
      </c>
      <c r="G6" s="10" t="n">
        <v>480</v>
      </c>
      <c r="H6" s="10" t="n">
        <f aca="false">G6*F6</f>
        <v>1920</v>
      </c>
      <c r="I6" s="11" t="n">
        <f aca="false">K6*L6*M6</f>
        <v>181443.047619048</v>
      </c>
      <c r="J6" s="12" t="n">
        <f aca="false">I6*D6</f>
        <v>362886.095238095</v>
      </c>
      <c r="K6" s="3" t="n">
        <v>24.4</v>
      </c>
      <c r="L6" s="3" t="n">
        <f aca="false">K6*D6</f>
        <v>48.8</v>
      </c>
      <c r="M6" s="3" t="n">
        <f aca="false">E6*G6/6.3</f>
        <v>152.380952380952</v>
      </c>
      <c r="N6" s="3" t="n">
        <f aca="false">I6*200+M6</f>
        <v>36288761.9047619</v>
      </c>
    </row>
    <row r="7" customFormat="false" ht="50.1" hidden="false" customHeight="true" outlineLevel="0" collapsed="false">
      <c r="A7" s="1" t="n">
        <f aca="false">N7*1.3/E7</f>
        <v>2454404.33333333</v>
      </c>
      <c r="B7" s="2" t="n">
        <f aca="false">N7*1.6/E7</f>
        <v>3020805.33333333</v>
      </c>
      <c r="C7" s="9" t="s">
        <v>13</v>
      </c>
      <c r="D7" s="10" t="n">
        <v>3</v>
      </c>
      <c r="E7" s="10" t="n">
        <v>4</v>
      </c>
      <c r="F7" s="10" t="n">
        <f aca="false">D7*E7</f>
        <v>12</v>
      </c>
      <c r="G7" s="10" t="n">
        <v>93</v>
      </c>
      <c r="H7" s="10" t="n">
        <f aca="false">G7*F7</f>
        <v>1116</v>
      </c>
      <c r="I7" s="11" t="n">
        <f aca="false">K7*L7*M7</f>
        <v>37759.7714285714</v>
      </c>
      <c r="J7" s="12" t="n">
        <f aca="false">I7*D7</f>
        <v>113279.314285714</v>
      </c>
      <c r="K7" s="3" t="n">
        <v>14.6</v>
      </c>
      <c r="L7" s="3" t="n">
        <f aca="false">K7*D7</f>
        <v>43.8</v>
      </c>
      <c r="M7" s="3" t="n">
        <f aca="false">E7*G7/6.3</f>
        <v>59.0476190476191</v>
      </c>
      <c r="N7" s="3" t="n">
        <f aca="false">I7*200+M7</f>
        <v>7552013.33333333</v>
      </c>
    </row>
    <row r="8" customFormat="false" ht="50.1" hidden="false" customHeight="true" outlineLevel="0" collapsed="false">
      <c r="A8" s="1" t="n">
        <f aca="false">N8*1.3/E8</f>
        <v>9365617.85714286</v>
      </c>
      <c r="B8" s="2" t="n">
        <f aca="false">N8*1.6/E8</f>
        <v>11526914.2857143</v>
      </c>
      <c r="C8" s="9" t="s">
        <v>14</v>
      </c>
      <c r="D8" s="10" t="n">
        <v>15</v>
      </c>
      <c r="E8" s="10" t="n">
        <v>1</v>
      </c>
      <c r="F8" s="10" t="n">
        <f aca="false">D8*E8</f>
        <v>15</v>
      </c>
      <c r="G8" s="10" t="n">
        <v>225</v>
      </c>
      <c r="H8" s="10" t="n">
        <f aca="false">G8*F8</f>
        <v>3375</v>
      </c>
      <c r="I8" s="11" t="n">
        <f aca="false">K8*L8*M8</f>
        <v>36021.4285714286</v>
      </c>
      <c r="J8" s="12" t="n">
        <f aca="false">I8*D8</f>
        <v>540321.428571429</v>
      </c>
      <c r="K8" s="3" t="n">
        <v>8.2</v>
      </c>
      <c r="L8" s="3" t="n">
        <f aca="false">K8*D8</f>
        <v>123</v>
      </c>
      <c r="M8" s="3" t="n">
        <f aca="false">E8*G8/6.3</f>
        <v>35.7142857142857</v>
      </c>
      <c r="N8" s="3" t="n">
        <f aca="false">I8*200+M8</f>
        <v>7204321.42857143</v>
      </c>
    </row>
    <row r="9" customFormat="false" ht="50.1" hidden="false" customHeight="true" outlineLevel="0" collapsed="false">
      <c r="A9" s="1" t="n">
        <f aca="false">N9*1.3/E9</f>
        <v>12046931.8253968</v>
      </c>
      <c r="B9" s="2" t="n">
        <f aca="false">N9*1.6/E9</f>
        <v>14826993.015873</v>
      </c>
      <c r="C9" s="9" t="s">
        <v>15</v>
      </c>
      <c r="D9" s="10" t="n">
        <v>15</v>
      </c>
      <c r="E9" s="10" t="n">
        <v>1</v>
      </c>
      <c r="F9" s="10" t="n">
        <f aca="false">D9*E9</f>
        <v>15</v>
      </c>
      <c r="G9" s="10" t="n">
        <v>235</v>
      </c>
      <c r="H9" s="10" t="n">
        <f aca="false">G9*F9</f>
        <v>3525</v>
      </c>
      <c r="I9" s="11" t="n">
        <f aca="false">K9*L9*M9</f>
        <v>46334.1666666667</v>
      </c>
      <c r="J9" s="12" t="n">
        <f aca="false">I9*D9</f>
        <v>695012.5</v>
      </c>
      <c r="K9" s="3" t="n">
        <v>9.1</v>
      </c>
      <c r="L9" s="3" t="n">
        <f aca="false">K9*D9</f>
        <v>136.5</v>
      </c>
      <c r="M9" s="3" t="n">
        <f aca="false">E9*G9/6.3</f>
        <v>37.3015873015873</v>
      </c>
      <c r="N9" s="3" t="n">
        <f aca="false">I9*200+M9</f>
        <v>9266870.63492063</v>
      </c>
    </row>
    <row r="10" customFormat="false" ht="50.1" hidden="false" customHeight="true" outlineLevel="0" collapsed="false">
      <c r="A10" s="1" t="n">
        <f aca="false">N10*1.3/E10</f>
        <v>58559410</v>
      </c>
      <c r="B10" s="2" t="n">
        <f aca="false">N10*1.6/E10</f>
        <v>72073120</v>
      </c>
      <c r="C10" s="9" t="s">
        <v>16</v>
      </c>
      <c r="D10" s="10" t="n">
        <v>3</v>
      </c>
      <c r="E10" s="10" t="n">
        <v>1</v>
      </c>
      <c r="F10" s="10" t="n">
        <f aca="false">D10*E10</f>
        <v>3</v>
      </c>
      <c r="G10" s="10" t="n">
        <v>630</v>
      </c>
      <c r="H10" s="10" t="n">
        <f aca="false">G10*F10</f>
        <v>1890</v>
      </c>
      <c r="I10" s="11" t="n">
        <f aca="false">K10*L10*M10</f>
        <v>225228</v>
      </c>
      <c r="J10" s="12" t="n">
        <f aca="false">I10*D10</f>
        <v>675684</v>
      </c>
      <c r="K10" s="3" t="n">
        <v>27.4</v>
      </c>
      <c r="L10" s="3" t="n">
        <f aca="false">K10*D10</f>
        <v>82.2</v>
      </c>
      <c r="M10" s="3" t="n">
        <f aca="false">E10*G10/6.3</f>
        <v>100</v>
      </c>
      <c r="N10" s="3" t="n">
        <f aca="false">I10*200+M10</f>
        <v>45045700</v>
      </c>
    </row>
    <row r="11" customFormat="false" ht="50.1" hidden="false" customHeight="true" outlineLevel="0" collapsed="false">
      <c r="A11" s="1" t="n">
        <f aca="false">N11*1.3/E11</f>
        <v>6956533.17460317</v>
      </c>
      <c r="B11" s="2" t="n">
        <f aca="false">N11*1.6/E11</f>
        <v>8561886.98412698</v>
      </c>
      <c r="C11" s="9" t="s">
        <v>17</v>
      </c>
      <c r="D11" s="10" t="n">
        <v>2</v>
      </c>
      <c r="E11" s="10" t="n">
        <v>1</v>
      </c>
      <c r="F11" s="10" t="n">
        <f aca="false">D11*E11</f>
        <v>2</v>
      </c>
      <c r="G11" s="10" t="n">
        <v>430</v>
      </c>
      <c r="H11" s="10" t="n">
        <f aca="false">G11*F11</f>
        <v>860</v>
      </c>
      <c r="I11" s="11" t="n">
        <f aca="false">K11*L11*M11</f>
        <v>26755.5555555556</v>
      </c>
      <c r="J11" s="12" t="n">
        <f aca="false">I11*D11</f>
        <v>53511.1111111111</v>
      </c>
      <c r="K11" s="3" t="n">
        <v>14</v>
      </c>
      <c r="L11" s="3" t="n">
        <f aca="false">K11*D11</f>
        <v>28</v>
      </c>
      <c r="M11" s="3" t="n">
        <f aca="false">E11*G11/6.3</f>
        <v>68.2539682539683</v>
      </c>
      <c r="N11" s="3" t="n">
        <f aca="false">I11*200+M11</f>
        <v>5351179.36507937</v>
      </c>
    </row>
    <row r="12" customFormat="false" ht="50.1" hidden="false" customHeight="true" outlineLevel="0" collapsed="false">
      <c r="A12" s="1" t="n">
        <f aca="false">N12*1.3/E12</f>
        <v>167153.174603175</v>
      </c>
      <c r="B12" s="2" t="n">
        <f aca="false">N12*1.6/E12</f>
        <v>205726.984126984</v>
      </c>
      <c r="C12" s="9" t="s">
        <v>18</v>
      </c>
      <c r="D12" s="10" t="n">
        <v>9</v>
      </c>
      <c r="E12" s="10" t="n">
        <v>1</v>
      </c>
      <c r="F12" s="10" t="n">
        <f aca="false">D12*E12</f>
        <v>9</v>
      </c>
      <c r="G12" s="10" t="n">
        <v>50</v>
      </c>
      <c r="H12" s="10" t="n">
        <f aca="false">G12*F12</f>
        <v>450</v>
      </c>
      <c r="I12" s="11" t="n">
        <f aca="false">K12*L12*M12</f>
        <v>642.857142857143</v>
      </c>
      <c r="J12" s="12" t="n">
        <f aca="false">I12*D12</f>
        <v>5785.71428571429</v>
      </c>
      <c r="K12" s="3" t="n">
        <v>3</v>
      </c>
      <c r="L12" s="3" t="n">
        <f aca="false">K12*D12</f>
        <v>27</v>
      </c>
      <c r="M12" s="3" t="n">
        <f aca="false">E12*G12/6.3</f>
        <v>7.93650793650794</v>
      </c>
      <c r="N12" s="3" t="n">
        <f aca="false">I12*200+M12</f>
        <v>128579.365079365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A73" activeCellId="0" sqref="A73"/>
    </sheetView>
  </sheetViews>
  <sheetFormatPr defaultColWidth="8.953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53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LibreOffice/24.2.7.2$Linux_X86_64 LibreOffice_project/420$Build-2</Application>
  <AppVersion>15.0000</AppVersion>
  <Company>SACC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2019-06-18T03:06:00Z</dcterms:created>
  <dc:creator>Maher</dc:creator>
  <dc:description/>
  <dc:language>en-US</dc:language>
  <cp:lastModifiedBy/>
  <dcterms:modified xsi:type="dcterms:W3CDTF">2025-12-01T22:41:43Z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768D214F290C4D5494309C807876B8E3</vt:lpwstr>
  </property>
  <property fmtid="{D5CDD505-2E9C-101B-9397-08002B2CF9AE}" pid="3" name="KSOProductBuildVer">
    <vt:lpwstr>2052-12.1.0.22529</vt:lpwstr>
  </property>
</Properties>
</file>